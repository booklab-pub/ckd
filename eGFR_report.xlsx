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kson\Desktop\"/>
    </mc:Choice>
  </mc:AlternateContent>
  <xr:revisionPtr revIDLastSave="0" documentId="13_ncr:1_{E48F03FE-F7ED-4C39-88FF-6FA1969649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GFR 관리보고서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5" i="1" l="1"/>
  <c r="B44" i="1"/>
  <c r="B13" i="1"/>
  <c r="B12" i="1"/>
  <c r="B9" i="1"/>
  <c r="G7" i="1"/>
  <c r="F7" i="1"/>
  <c r="E7" i="1"/>
  <c r="D7" i="1"/>
  <c r="C7" i="1"/>
  <c r="G6" i="1"/>
  <c r="F6" i="1"/>
  <c r="E6" i="1"/>
  <c r="D6" i="1"/>
  <c r="C6" i="1"/>
  <c r="D41" i="1" l="1"/>
  <c r="D42" i="1"/>
  <c r="D40" i="1"/>
</calcChain>
</file>

<file path=xl/sharedStrings.xml><?xml version="1.0" encoding="utf-8"?>
<sst xmlns="http://schemas.openxmlformats.org/spreadsheetml/2006/main" count="27" uniqueCount="25">
  <si>
    <r>
      <rPr>
        <b/>
        <sz val="20"/>
        <color theme="1"/>
        <rFont val="Arial"/>
        <family val="2"/>
      </rPr>
      <t xml:space="preserve"> ___________________   </t>
    </r>
    <r>
      <rPr>
        <b/>
        <sz val="20"/>
        <color theme="1"/>
        <rFont val="Noto Sans CJK SC"/>
        <family val="2"/>
      </rPr>
      <t xml:space="preserve">님의 </t>
    </r>
    <r>
      <rPr>
        <b/>
        <sz val="20"/>
        <color theme="1"/>
        <rFont val="Arial"/>
        <family val="2"/>
      </rPr>
      <t xml:space="preserve">eGFR </t>
    </r>
    <r>
      <rPr>
        <b/>
        <sz val="20"/>
        <color theme="1"/>
        <rFont val="Noto Sans CJK SC"/>
        <family val="2"/>
      </rPr>
      <t>관리 보고서</t>
    </r>
  </si>
  <si>
    <r>
      <rPr>
        <b/>
        <sz val="15"/>
        <color theme="1"/>
        <rFont val="Arial"/>
        <family val="2"/>
      </rPr>
      <t>&lt;</t>
    </r>
    <r>
      <rPr>
        <b/>
        <sz val="15"/>
        <color theme="1"/>
        <rFont val="Noto Sans CJK SC"/>
        <family val="2"/>
      </rPr>
      <t>최신 결과 요약</t>
    </r>
    <r>
      <rPr>
        <b/>
        <sz val="15"/>
        <color theme="1"/>
        <rFont val="Arial"/>
        <family val="2"/>
      </rPr>
      <t>&gt;</t>
    </r>
  </si>
  <si>
    <t>날짜</t>
  </si>
  <si>
    <r>
      <rPr>
        <sz val="10"/>
        <color theme="1"/>
        <rFont val="Arial"/>
        <family val="2"/>
      </rPr>
      <t xml:space="preserve">eGFR </t>
    </r>
    <r>
      <rPr>
        <sz val="10"/>
        <color theme="1"/>
        <rFont val="Noto Sans CJK SC"/>
        <family val="2"/>
      </rPr>
      <t>수치</t>
    </r>
  </si>
  <si>
    <t>전체 평균 기울기 (m1):</t>
  </si>
  <si>
    <t>최근 2회 검사 기울기 (m2):</t>
  </si>
  <si>
    <r>
      <rPr>
        <b/>
        <sz val="15"/>
        <color theme="1"/>
        <rFont val="Arial"/>
        <family val="2"/>
      </rPr>
      <t xml:space="preserve">&lt;eGFR </t>
    </r>
    <r>
      <rPr>
        <b/>
        <sz val="15"/>
        <color theme="1"/>
        <rFont val="Noto Sans CJK SC"/>
        <family val="2"/>
      </rPr>
      <t>변화 추세</t>
    </r>
    <r>
      <rPr>
        <b/>
        <sz val="15"/>
        <color theme="1"/>
        <rFont val="Arial"/>
        <family val="2"/>
      </rPr>
      <t>&gt;</t>
    </r>
  </si>
  <si>
    <r>
      <rPr>
        <b/>
        <sz val="15"/>
        <color theme="1"/>
        <rFont val="Arial"/>
        <family val="2"/>
      </rPr>
      <t>&lt;</t>
    </r>
    <r>
      <rPr>
        <b/>
        <sz val="15"/>
        <color theme="1"/>
        <rFont val="Noto Sans CJK SC"/>
        <family val="2"/>
      </rPr>
      <t>만성콩팥병 단계 변화 예측 도달 일시</t>
    </r>
    <r>
      <rPr>
        <b/>
        <sz val="15"/>
        <color theme="1"/>
        <rFont val="Arial"/>
        <family val="2"/>
      </rPr>
      <t>&gt;</t>
    </r>
  </si>
  <si>
    <t>목표 단계</t>
  </si>
  <si>
    <t>목표 eGFR</t>
  </si>
  <si>
    <t>예측 도달 일시*</t>
  </si>
  <si>
    <t>비고</t>
  </si>
  <si>
    <r>
      <rPr>
        <b/>
        <sz val="10"/>
        <color rgb="FF1F1F1F"/>
        <rFont val="&quot;Google Sans Text&quot;"/>
        <charset val="1"/>
      </rPr>
      <t>3b</t>
    </r>
    <r>
      <rPr>
        <b/>
        <sz val="10"/>
        <color rgb="FF1F1F1F"/>
        <rFont val="Noto Sans CJK SC"/>
        <family val="2"/>
      </rPr>
      <t>단계</t>
    </r>
  </si>
  <si>
    <t>주의 단계</t>
  </si>
  <si>
    <r>
      <rPr>
        <b/>
        <sz val="10"/>
        <color rgb="FF1F1F1F"/>
        <rFont val="&quot;Google Sans Text&quot;"/>
        <charset val="1"/>
      </rPr>
      <t>4</t>
    </r>
    <r>
      <rPr>
        <b/>
        <sz val="10"/>
        <color rgb="FF1F1F1F"/>
        <rFont val="Noto Sans CJK SC"/>
        <family val="2"/>
      </rPr>
      <t>단계</t>
    </r>
  </si>
  <si>
    <t>적극적 준비</t>
  </si>
  <si>
    <r>
      <rPr>
        <b/>
        <sz val="10"/>
        <color rgb="FFFFFFFF"/>
        <rFont val="&quot;Google Sans Text&quot;"/>
        <charset val="1"/>
      </rPr>
      <t>5</t>
    </r>
    <r>
      <rPr>
        <b/>
        <sz val="10"/>
        <color rgb="FFFFFFFF"/>
        <rFont val="Noto Sans CJK SC"/>
        <family val="2"/>
      </rPr>
      <t>단계</t>
    </r>
  </si>
  <si>
    <t>투석/이식 준비</t>
  </si>
  <si>
    <t>기울기(m):</t>
  </si>
  <si>
    <t xml:space="preserve">절편(b): </t>
  </si>
  <si>
    <r>
      <rPr>
        <sz val="10"/>
        <color theme="1"/>
        <rFont val="Arial"/>
        <family val="2"/>
      </rPr>
      <t>"* '</t>
    </r>
    <r>
      <rPr>
        <sz val="10"/>
        <color theme="1"/>
        <rFont val="Noto Sans CJK SC"/>
        <family val="2"/>
      </rPr>
      <t>예측 도달 일시</t>
    </r>
    <r>
      <rPr>
        <sz val="10"/>
        <color theme="1"/>
        <rFont val="Arial"/>
        <family val="2"/>
      </rPr>
      <t>'</t>
    </r>
    <r>
      <rPr>
        <sz val="10"/>
        <color theme="1"/>
        <rFont val="Noto Sans CJK SC"/>
        <family val="2"/>
      </rPr>
      <t>는 과거의 데이터를 기반으로 미래를 예측해 본 것에 불과하므로</t>
    </r>
    <r>
      <rPr>
        <sz val="10"/>
        <color theme="1"/>
        <rFont val="Arial"/>
        <family val="2"/>
      </rPr>
      <t xml:space="preserve">, 
</t>
    </r>
    <r>
      <rPr>
        <sz val="10"/>
        <color theme="1"/>
        <rFont val="Noto Sans CJK SC"/>
        <family val="2"/>
      </rPr>
      <t>앞으로의 관리 결과에 따라 얼마든지 달라질 수 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Noto Sans CJK SC"/>
        <family val="2"/>
      </rPr>
      <t>참고 목적으로만 활용하세요</t>
    </r>
    <r>
      <rPr>
        <sz val="10"/>
        <color theme="1"/>
        <rFont val="Arial"/>
        <family val="2"/>
      </rPr>
      <t>."</t>
    </r>
  </si>
  <si>
    <r>
      <rPr>
        <b/>
        <sz val="15"/>
        <color theme="1"/>
        <rFont val="Arial"/>
        <family val="2"/>
      </rPr>
      <t>&lt;</t>
    </r>
    <r>
      <rPr>
        <b/>
        <sz val="15"/>
        <color theme="1"/>
        <rFont val="Noto Sans CJK SC"/>
        <family val="2"/>
      </rPr>
      <t>자신의 데이터를 입력할 곳</t>
    </r>
    <r>
      <rPr>
        <b/>
        <sz val="15"/>
        <color theme="1"/>
        <rFont val="Arial"/>
        <family val="2"/>
      </rPr>
      <t>&gt;</t>
    </r>
  </si>
  <si>
    <t xml:space="preserve">비고 </t>
  </si>
  <si>
    <t xml:space="preserve"> ◀️ 날짜와 자신의 eGFR을 예시처럼 입력해 보세요.
       날짜별로 순서를 꼭 맞출 필요는 없습니다.
       비고란에는 나중에 eGFR이 갑자기 떨어진 이유를 
       추정해 볼 수 있도록 간단한 메모를 기입해 두면 좋습니다.</t>
  </si>
  <si>
    <t>진통소염제 2주 복용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</si>
</sst>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2">
    <font>
      <sz val="10"/>
      <color rgb="FF000000"/>
      <name val="Arial"/>
      <charset val="1"/>
    </font>
    <font>
      <b/>
      <sz val="20"/>
      <color theme="1"/>
      <name val="Arial"/>
      <charset val="1"/>
    </font>
    <font>
      <b/>
      <sz val="20"/>
      <color theme="1"/>
      <name val="Noto Sans CJK SC"/>
      <family val="2"/>
    </font>
    <font>
      <b/>
      <sz val="15"/>
      <color theme="1"/>
      <name val="Arial"/>
      <family val="2"/>
    </font>
    <font>
      <b/>
      <sz val="15"/>
      <color theme="1"/>
      <name val="Noto Sans CJK SC"/>
      <family val="2"/>
    </font>
    <font>
      <sz val="10"/>
      <color theme="1"/>
      <name val="Noto Sans CJK SC"/>
      <family val="2"/>
      <charset val="1"/>
    </font>
    <font>
      <sz val="10"/>
      <color theme="1"/>
      <name val="Arial"/>
      <family val="2"/>
    </font>
    <font>
      <sz val="10"/>
      <color theme="1"/>
      <name val="Noto Sans CJK SC"/>
      <family val="2"/>
    </font>
    <font>
      <sz val="11"/>
      <color theme="1"/>
      <name val="Arial"/>
      <family val="2"/>
    </font>
    <font>
      <sz val="10"/>
      <color rgb="FF1F1F1F"/>
      <name val="Noto Sans CJK SC"/>
      <family val="2"/>
      <charset val="1"/>
    </font>
    <font>
      <b/>
      <sz val="10"/>
      <color rgb="FF1F1F1F"/>
      <name val="&quot;Google Sans Text&quot;"/>
      <charset val="1"/>
    </font>
    <font>
      <b/>
      <sz val="10"/>
      <color rgb="FF1F1F1F"/>
      <name val="Noto Sans CJK SC"/>
      <family val="2"/>
    </font>
    <font>
      <sz val="10"/>
      <color rgb="FF1F1F1F"/>
      <name val="&quot;Google Sans Text&quot;"/>
      <charset val="1"/>
    </font>
    <font>
      <sz val="10"/>
      <color rgb="FF444746"/>
      <name val="&quot;Google Sans Text&quot;"/>
      <charset val="1"/>
    </font>
    <font>
      <b/>
      <sz val="10"/>
      <color rgb="FFFFFFFF"/>
      <name val="&quot;Google Sans Text&quot;"/>
      <charset val="1"/>
    </font>
    <font>
      <b/>
      <sz val="10"/>
      <color rgb="FFFFFFFF"/>
      <name val="Noto Sans CJK SC"/>
      <family val="2"/>
    </font>
    <font>
      <sz val="10"/>
      <color rgb="FFFFFFFF"/>
      <name val="&quot;Google Sans Text&quot;"/>
      <charset val="1"/>
    </font>
    <font>
      <sz val="10"/>
      <color rgb="FFFFFFFF"/>
      <name val="Noto Sans CJK SC"/>
      <family val="2"/>
      <charset val="1"/>
    </font>
    <font>
      <sz val="10"/>
      <color rgb="FF222530"/>
      <name val="&quot;맑은 고딕&quot;"/>
      <family val="3"/>
      <charset val="129"/>
    </font>
    <font>
      <sz val="10"/>
      <color rgb="FF999999"/>
      <name val="Noto Sans CJK SC"/>
      <family val="2"/>
      <charset val="1"/>
    </font>
    <font>
      <b/>
      <sz val="20"/>
      <color theme="1"/>
      <name val="Arial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CFE2F3"/>
        <bgColor rgb="FFD9D9D9"/>
      </patternFill>
    </fill>
    <fill>
      <patternFill patternType="solid">
        <fgColor rgb="FFFFFFFF"/>
        <bgColor rgb="FFFCE5CD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ck">
        <color auto="1"/>
      </left>
      <right style="thick">
        <color auto="1"/>
      </right>
      <top style="thin">
        <color rgb="FF999999"/>
      </top>
      <bottom style="thin">
        <color rgb="FF999999"/>
      </bottom>
      <diagonal/>
    </border>
    <border>
      <left style="thick">
        <color auto="1"/>
      </left>
      <right style="thick">
        <color auto="1"/>
      </right>
      <top style="thin">
        <color rgb="FF999999"/>
      </top>
      <bottom style="thick">
        <color auto="1"/>
      </bottom>
      <diagonal/>
    </border>
    <border>
      <left style="thin">
        <color rgb="FFFFFFFF"/>
      </left>
      <right style="thin">
        <color rgb="FFA9A9A9"/>
      </right>
      <top style="thin">
        <color rgb="FFFFFFFF"/>
      </top>
      <bottom style="thin">
        <color rgb="FFA9A9A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1" xfId="0" applyFont="1" applyBorder="1"/>
    <xf numFmtId="176" fontId="6" fillId="0" borderId="1" xfId="0" applyNumberFormat="1" applyFont="1" applyBorder="1"/>
    <xf numFmtId="0" fontId="6" fillId="0" borderId="1" xfId="0" applyFont="1" applyBorder="1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76" fontId="18" fillId="6" borderId="7" xfId="0" applyNumberFormat="1" applyFont="1" applyFill="1" applyBorder="1" applyAlignment="1">
      <alignment horizontal="center"/>
    </xf>
    <xf numFmtId="0" fontId="18" fillId="6" borderId="7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9" fillId="0" borderId="1" xfId="0" applyFont="1" applyBorder="1" applyAlignment="1">
      <alignment horizontal="left"/>
    </xf>
    <xf numFmtId="176" fontId="18" fillId="6" borderId="1" xfId="0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2">
    <dxf>
      <fill>
        <patternFill>
          <bgColor rgb="FFCFE2F3"/>
        </patternFill>
      </fill>
    </dxf>
    <dxf>
      <fill>
        <patternFill>
          <bgColor rgb="FFFCE5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A9A9A9"/>
      <rgbColor rgb="FF993366"/>
      <rgbColor rgb="FFFCE5CD"/>
      <rgbColor rgb="FFCFE2F3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8B8B8B"/>
      <rgbColor rgb="FF999999"/>
      <rgbColor rgb="FF003366"/>
      <rgbColor rgb="FF339966"/>
      <rgbColor rgb="FF1A1A1A"/>
      <rgbColor rgb="FF1F1F1F"/>
      <rgbColor rgb="FF993300"/>
      <rgbColor rgb="FF993366"/>
      <rgbColor rgb="FF444746"/>
      <rgbColor rgb="FF2225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757575"/>
                </a:solidFill>
                <a:latin typeface="Arial"/>
                <a:ea typeface="Arial"/>
              </a:defRPr>
            </a:pPr>
            <a:r>
              <a:rPr lang="en-US" sz="1800" b="0" strike="noStrike" spc="-1">
                <a:solidFill>
                  <a:srgbClr val="757575"/>
                </a:solidFill>
                <a:latin typeface="Arial"/>
                <a:ea typeface="Arial"/>
              </a:rPr>
              <a:t> eGFR 변화 추세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'eGFR 관리보고서'!$A$53:$A$67</c:f>
              <c:numCache>
                <c:formatCode>yyyy\-mm\-dd</c:formatCode>
                <c:ptCount val="15"/>
                <c:pt idx="0">
                  <c:v>45012</c:v>
                </c:pt>
                <c:pt idx="1">
                  <c:v>45082</c:v>
                </c:pt>
                <c:pt idx="2">
                  <c:v>44953</c:v>
                </c:pt>
                <c:pt idx="3">
                  <c:v>45146</c:v>
                </c:pt>
                <c:pt idx="4">
                  <c:v>45229</c:v>
                </c:pt>
                <c:pt idx="5">
                  <c:v>45965</c:v>
                </c:pt>
                <c:pt idx="6">
                  <c:v>46080</c:v>
                </c:pt>
                <c:pt idx="7">
                  <c:v>45295</c:v>
                </c:pt>
                <c:pt idx="8">
                  <c:v>45344</c:v>
                </c:pt>
                <c:pt idx="9">
                  <c:v>45428</c:v>
                </c:pt>
                <c:pt idx="10">
                  <c:v>45492</c:v>
                </c:pt>
                <c:pt idx="11">
                  <c:v>45582</c:v>
                </c:pt>
                <c:pt idx="12">
                  <c:v>45679</c:v>
                </c:pt>
                <c:pt idx="13">
                  <c:v>45784</c:v>
                </c:pt>
                <c:pt idx="14">
                  <c:v>45877</c:v>
                </c:pt>
              </c:numCache>
            </c:numRef>
          </c:xVal>
          <c:yVal>
            <c:numRef>
              <c:f>'eGFR 관리보고서'!$B$53:$B$67</c:f>
              <c:numCache>
                <c:formatCode>General</c:formatCode>
                <c:ptCount val="15"/>
                <c:pt idx="0">
                  <c:v>31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24</c:v>
                </c:pt>
                <c:pt idx="5">
                  <c:v>22</c:v>
                </c:pt>
                <c:pt idx="6">
                  <c:v>25</c:v>
                </c:pt>
                <c:pt idx="7">
                  <c:v>30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27</c:v>
                </c:pt>
                <c:pt idx="12">
                  <c:v>24</c:v>
                </c:pt>
                <c:pt idx="13">
                  <c:v>23</c:v>
                </c:pt>
                <c:pt idx="14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ED-42C2-9EAB-6E5030D19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68117"/>
        <c:axId val="94654257"/>
      </c:scatterChart>
      <c:valAx>
        <c:axId val="67768117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minorGridlines>
          <c:spPr>
            <a:ln w="6480">
              <a:solidFill>
                <a:srgbClr val="CCCCCC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날짜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94654257"/>
        <c:crosses val="autoZero"/>
        <c:crossBetween val="midCat"/>
      </c:valAx>
      <c:valAx>
        <c:axId val="946542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minorGridlines>
          <c:spPr>
            <a:ln w="6480">
              <a:solidFill>
                <a:srgbClr val="CCCCCC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eGFR 수치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677681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10</xdr:col>
      <xdr:colOff>540</xdr:colOff>
      <xdr:row>36</xdr:row>
      <xdr:rowOff>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9"/>
  <sheetViews>
    <sheetView tabSelected="1" topLeftCell="A37" zoomScaleNormal="100" workbookViewId="0">
      <selection activeCell="E61" sqref="E61"/>
    </sheetView>
  </sheetViews>
  <sheetFormatPr defaultColWidth="12.6640625" defaultRowHeight="13.2"/>
  <sheetData>
    <row r="1" spans="1:8" ht="15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5.75" customHeight="1">
      <c r="A2" s="1"/>
      <c r="B2" s="1"/>
      <c r="C2" s="1"/>
      <c r="D2" s="1"/>
      <c r="E2" s="1"/>
      <c r="F2" s="1"/>
      <c r="G2" s="1"/>
      <c r="H2" s="1"/>
    </row>
    <row r="3" spans="1:8" ht="15.75" customHeight="1">
      <c r="A3" s="2"/>
    </row>
    <row r="4" spans="1:8" ht="15.75" customHeight="1">
      <c r="A4" s="2"/>
    </row>
    <row r="5" spans="1:8" ht="15.75" customHeight="1">
      <c r="A5" s="2" t="s">
        <v>1</v>
      </c>
    </row>
    <row r="6" spans="1:8" ht="15.75" customHeight="1">
      <c r="B6" s="3" t="s">
        <v>2</v>
      </c>
      <c r="C6" s="4">
        <f>IFERROR(LARGE(A53:A992,1),"")</f>
        <v>46122</v>
      </c>
      <c r="D6" s="4">
        <f>IFERROR(LARGE(A53:A992,2),"")</f>
        <v>46080</v>
      </c>
      <c r="E6" s="4">
        <f>IFERROR(LARGE(A53:A992,3),"")</f>
        <v>46073</v>
      </c>
      <c r="F6" s="4">
        <f>IFERROR(LARGE(A53:A992,4),"")</f>
        <v>46022</v>
      </c>
      <c r="G6" s="4">
        <f>IFERROR(LARGE(A53:A992,5),"")</f>
        <v>45965</v>
      </c>
    </row>
    <row r="7" spans="1:8" ht="15.75" customHeight="1">
      <c r="B7" s="5" t="s">
        <v>3</v>
      </c>
      <c r="C7" s="5">
        <f>IFERROR(INDEX(B53:B992,MATCH(LARGE(A53:A992,1),A53:A992,0)),"")</f>
        <v>24</v>
      </c>
      <c r="D7" s="3">
        <f>IFERROR(INDEX(B53:B992,MATCH(LARGE(A53:A992,2),A53:A992,0)),"")</f>
        <v>25</v>
      </c>
      <c r="E7" s="3">
        <f>IFERROR(INDEX(B53:B992,MATCH(LARGE(A53:A992,3),A53:A992,0)),"")</f>
        <v>23</v>
      </c>
      <c r="F7" s="3">
        <f>IFERROR(INDEX(B53:B992,MATCH(LARGE(A53:A992,4),A53:A992,0)),"")</f>
        <v>25</v>
      </c>
      <c r="G7" s="3">
        <f>IFERROR(INDEX(B53:B992,MATCH(LARGE(A53:A992,5),A53:A992,0)),"")</f>
        <v>22</v>
      </c>
    </row>
    <row r="9" spans="1:8" ht="15.75" customHeight="1">
      <c r="B9" s="6" t="str">
        <f>IF(ISNUMBER(IFERROR(INDEX(B53:B992,MATCH(LARGE(A53:A992,2),A53:A992,0)),"")),IF(INDEX(B53:B992,MATCH(LARGE(A53:A992,1),A53:A992,0))-IFERROR(INDEX(B53:B992,MATCH(LARGE(A53:A992,2),A53:A992,0)),"")&lt;=-5,"⚠️ 주의: 콩팥 수치가 급격히 하락했습니다!" &amp; CHAR(10) &amp; CHAR(10) &amp; "1. 최근 소염진통제(NSAIDs)나 검증되지 않은 보조제를 드셨나요?" &amp; CHAR(10) &amp; "2. 심한 감기(고열)나 탈수 증상(설사, 구토)이 있었나요? (Sick Day 수칙 확인)" &amp; CHAR(10) &amp; "3. 최근 혈압이 평소보다 높게 측정되었나요?" &amp; CHAR(10) &amp; "4. 식단(단백질, 나트륨)에 큰 변화가 있었는지 점검하세요.","✅ 현재 안정적인 추세를 유지하고 있습니다."),"✅ 현재 안정적인 추세를 유지하고 있습니다.")</f>
        <v>✅ 현재 안정적인 추세를 유지하고 있습니다.</v>
      </c>
    </row>
    <row r="10" spans="1:8" ht="15.75" customHeight="1">
      <c r="H10" s="7"/>
    </row>
    <row r="12" spans="1:8" ht="15.75" hidden="1" customHeight="1">
      <c r="A12" s="6" t="s">
        <v>4</v>
      </c>
      <c r="B12" s="6">
        <f>IFERROR(SLOPE(B53:B992,A53:A992),0)</f>
        <v>-3.5913330979649594E-3</v>
      </c>
    </row>
    <row r="13" spans="1:8" ht="15.75" hidden="1" customHeight="1">
      <c r="A13" s="6" t="s">
        <v>5</v>
      </c>
      <c r="B13" s="6">
        <f>IFERROR((INDEX(B53:B992,MATCH(LARGE(A53:A992,1),A53:A992,0))-INDEX(B53:B992,MATCH(LARGE(A53:A992,2),A53:A992,0)))/(LARGE(A53:A992,1)-LARGE(A53:A992,2)),0)</f>
        <v>-2.3809523809523808E-2</v>
      </c>
    </row>
    <row r="15" spans="1:8" ht="15.75" customHeight="1">
      <c r="A15" s="8"/>
      <c r="B15" s="8"/>
      <c r="C15" s="8"/>
    </row>
    <row r="16" spans="1:8" ht="15.75" customHeight="1">
      <c r="A16" s="8"/>
      <c r="B16" s="8"/>
      <c r="C16" s="8"/>
    </row>
    <row r="17" spans="1:3" ht="15.75" customHeight="1">
      <c r="A17" s="2" t="s">
        <v>6</v>
      </c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>
      <c r="A24" s="8"/>
      <c r="B24" s="8"/>
      <c r="C24" s="8"/>
    </row>
    <row r="25" spans="1:3" ht="15.75" customHeight="1">
      <c r="A25" s="8"/>
      <c r="B25" s="8"/>
      <c r="C25" s="8"/>
    </row>
    <row r="26" spans="1:3" ht="12.75" customHeight="1">
      <c r="A26" s="8"/>
      <c r="B26" s="8"/>
      <c r="C26" s="8"/>
    </row>
    <row r="27" spans="1:3" ht="12.75" customHeight="1">
      <c r="A27" s="8"/>
      <c r="B27" s="8"/>
      <c r="C27" s="8"/>
    </row>
    <row r="28" spans="1:3" ht="12.75" customHeight="1">
      <c r="A28" s="8"/>
      <c r="B28" s="8"/>
      <c r="C28" s="8"/>
    </row>
    <row r="29" spans="1:3" ht="12.75" customHeight="1">
      <c r="A29" s="8"/>
      <c r="B29" s="8"/>
      <c r="C29" s="8"/>
    </row>
    <row r="30" spans="1:3" ht="12.75" customHeight="1">
      <c r="A30" s="8"/>
      <c r="B30" s="8"/>
      <c r="C30" s="8"/>
    </row>
    <row r="31" spans="1:3" ht="12.75" customHeight="1">
      <c r="A31" s="8"/>
      <c r="B31" s="8"/>
      <c r="C31" s="8"/>
    </row>
    <row r="32" spans="1:3" ht="12.75" customHeight="1">
      <c r="A32" s="8"/>
      <c r="B32" s="8"/>
      <c r="C32" s="8"/>
    </row>
    <row r="33" spans="1:5" ht="12.75" customHeight="1">
      <c r="A33" s="8"/>
      <c r="B33" s="8"/>
      <c r="C33" s="8"/>
    </row>
    <row r="34" spans="1:5" ht="12.75" customHeight="1">
      <c r="A34" s="8"/>
      <c r="B34" s="8"/>
      <c r="C34" s="8"/>
    </row>
    <row r="35" spans="1:5" ht="12.75" customHeight="1">
      <c r="A35" s="8"/>
      <c r="B35" s="8"/>
      <c r="C35" s="8"/>
    </row>
    <row r="36" spans="1:5" ht="12.75" customHeight="1">
      <c r="A36" s="8"/>
      <c r="B36" s="8"/>
      <c r="C36" s="8"/>
    </row>
    <row r="37" spans="1:5" ht="12.75" customHeight="1">
      <c r="A37" s="8"/>
      <c r="B37" s="8"/>
      <c r="C37" s="8"/>
    </row>
    <row r="38" spans="1:5" ht="18.75" customHeight="1">
      <c r="A38" s="2" t="s">
        <v>7</v>
      </c>
      <c r="C38" s="8"/>
      <c r="D38" s="8"/>
    </row>
    <row r="39" spans="1:5" ht="12.75" customHeight="1">
      <c r="B39" s="9" t="s">
        <v>8</v>
      </c>
      <c r="C39" s="10" t="s">
        <v>9</v>
      </c>
      <c r="D39" s="11" t="s">
        <v>10</v>
      </c>
      <c r="E39" s="12" t="s">
        <v>11</v>
      </c>
    </row>
    <row r="40" spans="1:5" ht="12.75" customHeight="1">
      <c r="B40" s="13" t="s">
        <v>12</v>
      </c>
      <c r="C40" s="14">
        <v>45</v>
      </c>
      <c r="D40" s="15" t="str">
        <f>IFERROR(TEXT((45 - B45)/B44, "YYYY-MM-DD"), "계산 불가")</f>
        <v>2009-09-17</v>
      </c>
      <c r="E40" s="16" t="s">
        <v>13</v>
      </c>
    </row>
    <row r="41" spans="1:5" ht="12.75" customHeight="1">
      <c r="B41" s="17" t="s">
        <v>14</v>
      </c>
      <c r="C41" s="18">
        <v>30</v>
      </c>
      <c r="D41" s="19" t="str">
        <f>IFERROR(TEXT((30 - B45)/B44, "YYYY-MM-DD"), "계산 불가")</f>
        <v>2021-02-22</v>
      </c>
      <c r="E41" s="20" t="s">
        <v>15</v>
      </c>
    </row>
    <row r="42" spans="1:5" ht="12.75" customHeight="1">
      <c r="B42" s="21" t="s">
        <v>16</v>
      </c>
      <c r="C42" s="22">
        <v>15</v>
      </c>
      <c r="D42" s="23" t="str">
        <f>IFERROR(TEXT((15 - B45)/B44, "YYYY-MM-DD"), "계산 불가")</f>
        <v>2032-07-31</v>
      </c>
      <c r="E42" s="24" t="s">
        <v>17</v>
      </c>
    </row>
    <row r="43" spans="1:5" ht="12.75" customHeight="1">
      <c r="A43" s="8"/>
      <c r="B43" s="8"/>
      <c r="C43" s="8"/>
    </row>
    <row r="44" spans="1:5" ht="12.75" hidden="1" customHeight="1">
      <c r="A44" s="25" t="s">
        <v>18</v>
      </c>
      <c r="B44" s="8">
        <f>IFERROR(SLOPE(B53:B992,A53:A992),0)</f>
        <v>-3.5913330979649594E-3</v>
      </c>
      <c r="C44" s="8"/>
    </row>
    <row r="45" spans="1:5" ht="12.75" hidden="1" customHeight="1">
      <c r="A45" s="25" t="s">
        <v>19</v>
      </c>
      <c r="B45" s="8">
        <f>IFERROR(INTERCEPT(B53:B992,A53:A992),0)</f>
        <v>188.91587279402393</v>
      </c>
      <c r="C45" s="8"/>
    </row>
    <row r="46" spans="1:5" ht="12.75" customHeight="1">
      <c r="B46" s="26" t="s">
        <v>20</v>
      </c>
      <c r="C46" s="8"/>
    </row>
    <row r="47" spans="1:5" ht="12.75" customHeight="1">
      <c r="A47" s="8"/>
      <c r="B47" s="8"/>
      <c r="C47" s="8"/>
    </row>
    <row r="48" spans="1:5" ht="12.75" customHeight="1">
      <c r="A48" s="8"/>
      <c r="B48" s="8"/>
      <c r="C48" s="8"/>
    </row>
    <row r="49" spans="1:4" ht="12.75" customHeight="1">
      <c r="A49" s="8"/>
      <c r="B49" s="8"/>
      <c r="C49" s="8"/>
    </row>
    <row r="50" spans="1:4" ht="12.75" customHeight="1">
      <c r="A50" s="8"/>
      <c r="B50" s="8"/>
      <c r="C50" s="8"/>
    </row>
    <row r="51" spans="1:4" ht="18.75" customHeight="1">
      <c r="A51" s="2" t="s">
        <v>21</v>
      </c>
      <c r="B51" s="8"/>
      <c r="C51" s="8"/>
    </row>
    <row r="52" spans="1:4" ht="12.75" customHeight="1">
      <c r="A52" s="27" t="s">
        <v>2</v>
      </c>
      <c r="B52" s="28" t="s">
        <v>3</v>
      </c>
      <c r="C52" s="27" t="s">
        <v>22</v>
      </c>
    </row>
    <row r="53" spans="1:4" ht="13.5" customHeight="1">
      <c r="A53" s="29">
        <v>45012</v>
      </c>
      <c r="B53" s="30">
        <v>31</v>
      </c>
      <c r="C53" s="31"/>
      <c r="D53" s="32" t="s">
        <v>23</v>
      </c>
    </row>
    <row r="54" spans="1:4" ht="13.5" customHeight="1">
      <c r="A54" s="29">
        <v>45082</v>
      </c>
      <c r="B54" s="30">
        <v>25</v>
      </c>
      <c r="C54" s="33" t="s">
        <v>24</v>
      </c>
    </row>
    <row r="55" spans="1:4" ht="13.5" customHeight="1">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="30">
        <v>30</v>
      </c>
      <c r="C56" s="31"/>
    </row>
    <row r="57" spans="1:4" ht="13.5" customHeight="1">
      <c r="A57" s="29">
        <v>45229</v>
      </c>
      <c r="B57" s="30">
        <v>24</v>
      </c>
      <c r="C57" s="31"/>
    </row>
    <row r="58" spans="1:4" ht="13.5" customHeight="1">
      <c r="A58" s="29">
        <v>45965</v>
      </c>
      <c r="B58" s="30">
        <v>22</v>
      </c>
      <c r="C58" s="31"/>
    </row>
    <row r="59" spans="1:4" ht="13.5" customHeight="1">
      <c r="A59" s="29">
        <v>46080</v>
      </c>
      <c r="B59" s="30">
        <v>25</v>
      </c>
      <c r="C59" s="31"/>
    </row>
    <row r="60" spans="1:4" ht="13.5" customHeight="1">
      <c r="A60" s="29">
        <v>45295</v>
      </c>
      <c r="B60" s="30">
        <v>30</v>
      </c>
      <c r="C60" s="31"/>
    </row>
    <row r="61" spans="1:4" ht="13.5" customHeight="1">
      <c r="A61" s="29">
        <v>45344</v>
      </c>
      <c r="B61" s="30">
        <v>25</v>
      </c>
      <c r="C61" s="31"/>
    </row>
    <row r="62" spans="1:4" ht="13.5" customHeight="1">
      <c r="A62" s="29">
        <v>45428</v>
      </c>
      <c r="B62" s="30">
        <v>25</v>
      </c>
      <c r="C62" s="31"/>
    </row>
    <row r="63" spans="1:4" ht="13.5" customHeight="1">
      <c r="A63" s="29">
        <v>45492</v>
      </c>
      <c r="B63" s="30">
        <v>25</v>
      </c>
      <c r="C63" s="31"/>
    </row>
    <row r="64" spans="1:4" ht="13.5" customHeight="1">
      <c r="A64" s="29">
        <v>45582</v>
      </c>
      <c r="B64" s="30">
        <v>27</v>
      </c>
      <c r="C64" s="31"/>
    </row>
    <row r="65" spans="1:9" ht="13.5" customHeight="1">
      <c r="A65" s="29">
        <v>45679</v>
      </c>
      <c r="B65" s="30">
        <v>24</v>
      </c>
      <c r="C65" s="31"/>
    </row>
    <row r="66" spans="1:9" ht="13.5" customHeight="1">
      <c r="A66" s="29">
        <v>45784</v>
      </c>
      <c r="B66" s="30">
        <v>23</v>
      </c>
      <c r="C66" s="31"/>
    </row>
    <row r="67" spans="1:9" ht="13.5" customHeight="1">
      <c r="A67" s="29">
        <v>45877</v>
      </c>
      <c r="B67" s="30">
        <v>23</v>
      </c>
      <c r="C67" s="31"/>
    </row>
    <row r="68" spans="1:9" ht="13.5" customHeight="1">
      <c r="A68" s="34">
        <v>46022</v>
      </c>
      <c r="B68" s="35">
        <v>25</v>
      </c>
      <c r="C68" s="31"/>
    </row>
    <row r="69" spans="1:9" ht="13.5" customHeight="1">
      <c r="A69" s="34">
        <v>46122</v>
      </c>
      <c r="B69" s="35">
        <v>24</v>
      </c>
      <c r="C69" s="31"/>
    </row>
    <row r="70" spans="1:9" ht="13.5" customHeight="1">
      <c r="A70" s="34">
        <v>46073</v>
      </c>
      <c r="B70" s="35">
        <v>23</v>
      </c>
      <c r="C70" s="31"/>
    </row>
    <row r="71" spans="1:9" ht="13.5" customHeight="1">
      <c r="A71" s="34"/>
      <c r="B71" s="35"/>
      <c r="C71" s="31"/>
    </row>
    <row r="72" spans="1:9" ht="13.5" customHeight="1">
      <c r="A72" s="34"/>
      <c r="B72" s="35"/>
      <c r="C72" s="31"/>
    </row>
    <row r="73" spans="1:9" ht="13.5" customHeight="1">
      <c r="A73" s="34"/>
      <c r="B73" s="35"/>
      <c r="C73" s="31"/>
    </row>
    <row r="74" spans="1:9" ht="15.75" customHeight="1">
      <c r="B74" s="36"/>
    </row>
    <row r="75" spans="1:9" ht="15.75" customHeight="1">
      <c r="B75" s="36"/>
    </row>
    <row r="76" spans="1:9" ht="15.75" customHeight="1">
      <c r="B76" s="36"/>
    </row>
    <row r="77" spans="1:9" ht="12.75" customHeight="1">
      <c r="B77" s="36"/>
      <c r="I77" s="6"/>
    </row>
    <row r="78" spans="1:9" ht="15.75" customHeight="1">
      <c r="B78" s="36"/>
    </row>
    <row r="79" spans="1:9" ht="15.75" customHeight="1">
      <c r="B79" s="36"/>
    </row>
    <row r="80" spans="1:9" ht="15.75" customHeight="1">
      <c r="B80" s="36"/>
    </row>
    <row r="81" spans="2:2" ht="15.75" customHeight="1">
      <c r="B81" s="36"/>
    </row>
    <row r="82" spans="2:2" ht="15.75" customHeight="1">
      <c r="B82" s="36"/>
    </row>
    <row r="83" spans="2:2" ht="15.75" customHeight="1">
      <c r="B83" s="36"/>
    </row>
    <row r="84" spans="2:2" ht="15.75" customHeight="1">
      <c r="B84" s="36"/>
    </row>
    <row r="85" spans="2:2" ht="15.75" customHeight="1">
      <c r="B85" s="36"/>
    </row>
    <row r="86" spans="2:2" ht="15.75" customHeight="1">
      <c r="B86" s="36"/>
    </row>
    <row r="87" spans="2:2" ht="15.75" customHeight="1">
      <c r="B87" s="36"/>
    </row>
    <row r="88" spans="2:2" ht="15.75" customHeight="1">
      <c r="B88" s="36"/>
    </row>
    <row r="89" spans="2:2" ht="15.75" customHeight="1">
      <c r="B89" s="36"/>
    </row>
    <row r="90" spans="2:2" ht="15.75" customHeight="1">
      <c r="B90" s="36"/>
    </row>
    <row r="91" spans="2:2" ht="15.75" customHeight="1">
      <c r="B91" s="36"/>
    </row>
    <row r="92" spans="2:2" ht="15.75" customHeight="1">
      <c r="B92" s="36"/>
    </row>
    <row r="93" spans="2:2" ht="15.75" customHeight="1">
      <c r="B93" s="36"/>
    </row>
    <row r="94" spans="2:2" ht="15.75" customHeight="1">
      <c r="B94" s="36"/>
    </row>
    <row r="95" spans="2:2" ht="15.75" customHeight="1">
      <c r="B95" s="36"/>
    </row>
    <row r="96" spans="2:2" ht="15.75" customHeight="1">
      <c r="B96" s="36"/>
    </row>
    <row r="97" spans="2:2" ht="15.75" customHeight="1">
      <c r="B97" s="36"/>
    </row>
    <row r="98" spans="2:2" ht="15.75" customHeight="1">
      <c r="B98" s="36"/>
    </row>
    <row r="99" spans="2:2" ht="15.75" customHeight="1">
      <c r="B99" s="36"/>
    </row>
    <row r="100" spans="2:2" ht="15.75" customHeight="1">
      <c r="B100" s="36"/>
    </row>
    <row r="101" spans="2:2" ht="15.75" customHeight="1">
      <c r="B101" s="36"/>
    </row>
    <row r="102" spans="2:2" ht="15.75" customHeight="1">
      <c r="B102" s="36"/>
    </row>
    <row r="103" spans="2:2" ht="15.75" customHeight="1">
      <c r="B103" s="36"/>
    </row>
    <row r="104" spans="2:2" ht="15.75" customHeight="1">
      <c r="B104" s="36"/>
    </row>
    <row r="105" spans="2:2" ht="15.75" customHeight="1">
      <c r="B105" s="36"/>
    </row>
    <row r="106" spans="2:2" ht="15.75" customHeight="1">
      <c r="B106" s="36"/>
    </row>
    <row r="107" spans="2:2" ht="15.75" customHeight="1">
      <c r="B107" s="36"/>
    </row>
    <row r="108" spans="2:2" ht="15.75" customHeight="1">
      <c r="B108" s="36"/>
    </row>
    <row r="109" spans="2:2" ht="15.75" customHeight="1">
      <c r="B109" s="36"/>
    </row>
    <row r="110" spans="2:2" ht="15.75" customHeight="1">
      <c r="B110" s="36"/>
    </row>
    <row r="111" spans="2:2" ht="15.75" customHeight="1">
      <c r="B111" s="36"/>
    </row>
    <row r="112" spans="2:2" ht="15.75" customHeight="1">
      <c r="B112" s="36"/>
    </row>
    <row r="113" spans="2:2" ht="15.75" customHeight="1">
      <c r="B113" s="36"/>
    </row>
    <row r="114" spans="2:2" ht="15.75" customHeight="1">
      <c r="B114" s="36"/>
    </row>
    <row r="115" spans="2:2" ht="15.75" customHeight="1">
      <c r="B115" s="36"/>
    </row>
    <row r="116" spans="2:2" ht="15.75" customHeight="1">
      <c r="B116" s="36"/>
    </row>
    <row r="117" spans="2:2" ht="15.75" customHeight="1">
      <c r="B117" s="36"/>
    </row>
    <row r="118" spans="2:2" ht="15.75" customHeight="1">
      <c r="B118" s="36"/>
    </row>
    <row r="119" spans="2:2" ht="15.75" customHeight="1">
      <c r="B119" s="36"/>
    </row>
  </sheetData>
  <mergeCells count="1">
    <mergeCell ref="A1:H2"/>
  </mergeCells>
  <phoneticPr fontId="21" type="noConversion"/>
  <conditionalFormatting sqref="C7">
    <cfRule type="expression" dxfId="1" priority="2">
      <formula>B13 &lt; B12 * 5</formula>
    </cfRule>
    <cfRule type="expression" dxfId="0" priority="3">
      <formula>B13 &gt;= B12 * 5</formula>
    </cfRule>
  </conditionalFormatting>
  <printOptions horizontalCentered="1" gridLines="1"/>
  <pageMargins left="0.7" right="0.7" top="0.75" bottom="0.75" header="0.511811023622047" footer="0.511811023622047"/>
  <pageSetup paperSize="9" pageOrder="overThenDown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eGFR 관리보고서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손형국</dc:creator>
  <dc:description/>
  <cp:lastModifiedBy>형국 손</cp:lastModifiedBy>
  <cp:revision>5</cp:revision>
  <dcterms:created xsi:type="dcterms:W3CDTF">2026-04-10T00:40:47Z</dcterms:created>
  <dcterms:modified xsi:type="dcterms:W3CDTF">2026-04-10T03:05:38Z</dcterms:modified>
  <dc:language>en-US</dc:language>
</cp:coreProperties>
</file>